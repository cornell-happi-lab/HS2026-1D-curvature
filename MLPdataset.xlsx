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Glove\"/>
    </mc:Choice>
  </mc:AlternateContent>
  <xr:revisionPtr revIDLastSave="0" documentId="13_ncr:1_{7A2C9E5C-7E8C-49BF-A126-0207A59261D1}" xr6:coauthVersionLast="47" xr6:coauthVersionMax="47" xr10:uidLastSave="{00000000-0000-0000-0000-000000000000}"/>
  <bookViews>
    <workbookView xWindow="-120" yWindow="-120" windowWidth="38640" windowHeight="21120" xr2:uid="{E989CFE2-F09C-42C3-AB6B-CC781CD8C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N8" i="1"/>
  <c r="O8" i="1"/>
  <c r="P8" i="1"/>
  <c r="D7" i="1"/>
  <c r="E7" i="1"/>
  <c r="F7" i="1"/>
  <c r="G7" i="1"/>
  <c r="H7" i="1"/>
  <c r="I7" i="1"/>
  <c r="J7" i="1"/>
  <c r="K7" i="1"/>
  <c r="L7" i="1"/>
  <c r="M7" i="1"/>
  <c r="N7" i="1"/>
  <c r="O7" i="1"/>
  <c r="P7" i="1"/>
  <c r="D6" i="1"/>
  <c r="E6" i="1"/>
  <c r="F6" i="1"/>
  <c r="G6" i="1"/>
  <c r="H6" i="1"/>
  <c r="I6" i="1"/>
  <c r="J6" i="1"/>
  <c r="K6" i="1"/>
  <c r="L6" i="1"/>
  <c r="M6" i="1"/>
  <c r="N6" i="1"/>
  <c r="O6" i="1"/>
  <c r="P6" i="1"/>
  <c r="D5" i="1"/>
  <c r="E5" i="1"/>
  <c r="F5" i="1"/>
  <c r="G5" i="1"/>
  <c r="H5" i="1"/>
  <c r="I5" i="1"/>
  <c r="J5" i="1"/>
  <c r="K5" i="1"/>
  <c r="L5" i="1"/>
  <c r="M5" i="1"/>
  <c r="N5" i="1"/>
  <c r="O5" i="1"/>
  <c r="P5" i="1"/>
  <c r="C6" i="1"/>
  <c r="C8" i="1" s="1"/>
  <c r="C5" i="1"/>
  <c r="C7" i="1" s="1"/>
  <c r="V6" i="1"/>
  <c r="V8" i="1" s="1"/>
  <c r="W6" i="1"/>
  <c r="W8" i="1" s="1"/>
  <c r="X6" i="1"/>
  <c r="X8" i="1" s="1"/>
  <c r="Y6" i="1"/>
  <c r="Y8" i="1" s="1"/>
  <c r="Z6" i="1"/>
  <c r="Z8" i="1" s="1"/>
  <c r="AA6" i="1"/>
  <c r="AA8" i="1" s="1"/>
  <c r="V5" i="1"/>
  <c r="V7" i="1" s="1"/>
  <c r="W5" i="1"/>
  <c r="W7" i="1" s="1"/>
  <c r="X5" i="1"/>
  <c r="X7" i="1" s="1"/>
  <c r="Y5" i="1"/>
  <c r="Y7" i="1" s="1"/>
  <c r="Z5" i="1"/>
  <c r="Z7" i="1" s="1"/>
  <c r="AA5" i="1"/>
  <c r="AA7" i="1" s="1"/>
  <c r="W2" i="1"/>
  <c r="X2" i="1"/>
  <c r="Y2" i="1"/>
  <c r="Z2" i="1"/>
  <c r="AA2" i="1"/>
  <c r="V2" i="1"/>
  <c r="U5" i="1"/>
  <c r="U7" i="1" s="1"/>
  <c r="R6" i="1"/>
  <c r="R8" i="1" s="1"/>
  <c r="S6" i="1"/>
  <c r="S8" i="1" s="1"/>
  <c r="T6" i="1"/>
  <c r="T8" i="1" s="1"/>
  <c r="U6" i="1"/>
  <c r="U8" i="1" s="1"/>
  <c r="R5" i="1"/>
  <c r="R7" i="1" s="1"/>
  <c r="S5" i="1"/>
  <c r="S7" i="1" s="1"/>
  <c r="T5" i="1"/>
  <c r="T7" i="1" s="1"/>
  <c r="Q5" i="1"/>
  <c r="Q7" i="1" s="1"/>
  <c r="B5" i="1"/>
  <c r="B7" i="1" s="1"/>
  <c r="Q6" i="1"/>
  <c r="Q8" i="1" s="1"/>
  <c r="B6" i="1"/>
  <c r="B8" i="1" s="1"/>
</calcChain>
</file>

<file path=xl/sharedStrings.xml><?xml version="1.0" encoding="utf-8"?>
<sst xmlns="http://schemas.openxmlformats.org/spreadsheetml/2006/main" count="11" uniqueCount="11">
  <si>
    <t>flat</t>
  </si>
  <si>
    <t>cylinder</t>
  </si>
  <si>
    <t>sphere</t>
  </si>
  <si>
    <t>x</t>
  </si>
  <si>
    <t>y</t>
  </si>
  <si>
    <t>mean curvature(m)</t>
  </si>
  <si>
    <t>radius y (mm)</t>
  </si>
  <si>
    <t>radius x (mm)</t>
  </si>
  <si>
    <t>ellipsoid</t>
  </si>
  <si>
    <t>diameter x (mm)</t>
  </si>
  <si>
    <t>diameter y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</si>
</sst>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B311-7EF2-4464-B3A4-620A1EA78AEA}">
  <dimension ref="A1:AA8"/>
  <sheetViews>
    <sheetView tabSelected="1" workbookViewId="0">
      <selection activeCell="C14" sqref="C14"/>
    </sheetView>
  </sheetViews>
  <sheetFormatPr defaultRowHeight="15" x14ac:dyDescent="0.25"/>
  <cols>
    <col min="1" max="1" width="16.42578125" customWidth="1"/>
  </cols>
  <sheetData>
    <row r="1" spans="1:27" x14ac:dyDescent="0.25">
      <c r="B1" t="s">
        <v>0</v>
      </c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 t="s">
        <v>8</v>
      </c>
      <c r="W1" s="1"/>
      <c r="X1" s="1"/>
      <c r="Y1" s="1"/>
      <c r="Z1" s="1"/>
      <c r="AA1" s="1"/>
    </row>
    <row r="2" spans="1:27" x14ac:dyDescent="0.25">
      <c r="A2" t="s">
        <v>5</v>
      </c>
      <c r="B2">
        <v>0</v>
      </c>
      <c r="C2">
        <v>10</v>
      </c>
      <c r="D2">
        <v>15</v>
      </c>
      <c r="E2">
        <v>20</v>
      </c>
      <c r="F2">
        <v>25</v>
      </c>
      <c r="G2">
        <v>30</v>
      </c>
      <c r="H2">
        <v>35</v>
      </c>
      <c r="I2">
        <v>40</v>
      </c>
      <c r="J2">
        <v>45</v>
      </c>
      <c r="K2">
        <v>50</v>
      </c>
      <c r="L2">
        <v>55</v>
      </c>
      <c r="M2">
        <v>60</v>
      </c>
      <c r="N2">
        <v>65</v>
      </c>
      <c r="O2">
        <v>70</v>
      </c>
      <c r="P2">
        <v>75</v>
      </c>
      <c r="Q2">
        <v>80</v>
      </c>
      <c r="R2">
        <v>20</v>
      </c>
      <c r="S2">
        <v>40</v>
      </c>
      <c r="T2">
        <v>60</v>
      </c>
      <c r="U2">
        <v>80</v>
      </c>
      <c r="V2">
        <f>(V3+V4)/2</f>
        <v>30</v>
      </c>
      <c r="W2">
        <f t="shared" ref="W2:AA2" si="0">(W3+W4)/2</f>
        <v>40</v>
      </c>
      <c r="X2">
        <f t="shared" si="0"/>
        <v>50</v>
      </c>
      <c r="Y2">
        <f t="shared" si="0"/>
        <v>50</v>
      </c>
      <c r="Z2">
        <f t="shared" si="0"/>
        <v>60</v>
      </c>
      <c r="AA2">
        <f t="shared" si="0"/>
        <v>70</v>
      </c>
    </row>
    <row r="3" spans="1:27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20</v>
      </c>
      <c r="S3">
        <v>40</v>
      </c>
      <c r="T3">
        <v>60</v>
      </c>
      <c r="U3">
        <v>80</v>
      </c>
      <c r="V3">
        <v>20</v>
      </c>
      <c r="W3">
        <v>20</v>
      </c>
      <c r="X3">
        <v>20</v>
      </c>
      <c r="Y3">
        <v>40</v>
      </c>
      <c r="Z3">
        <v>40</v>
      </c>
      <c r="AA3">
        <v>60</v>
      </c>
    </row>
    <row r="4" spans="1:27" x14ac:dyDescent="0.25">
      <c r="A4" t="s">
        <v>4</v>
      </c>
      <c r="B4">
        <v>0</v>
      </c>
      <c r="C4">
        <v>20</v>
      </c>
      <c r="D4">
        <v>30</v>
      </c>
      <c r="E4">
        <v>40</v>
      </c>
      <c r="F4">
        <v>50</v>
      </c>
      <c r="G4">
        <v>60</v>
      </c>
      <c r="H4">
        <v>70</v>
      </c>
      <c r="I4">
        <v>80</v>
      </c>
      <c r="J4">
        <v>90</v>
      </c>
      <c r="K4">
        <v>100</v>
      </c>
      <c r="L4">
        <v>110</v>
      </c>
      <c r="M4">
        <v>120</v>
      </c>
      <c r="N4">
        <v>130</v>
      </c>
      <c r="O4">
        <v>140</v>
      </c>
      <c r="P4">
        <v>150</v>
      </c>
      <c r="Q4">
        <v>160</v>
      </c>
      <c r="R4">
        <v>20</v>
      </c>
      <c r="S4">
        <v>40</v>
      </c>
      <c r="T4">
        <v>60</v>
      </c>
      <c r="U4">
        <v>80</v>
      </c>
      <c r="V4">
        <v>40</v>
      </c>
      <c r="W4">
        <v>60</v>
      </c>
      <c r="X4">
        <v>80</v>
      </c>
      <c r="Y4">
        <v>60</v>
      </c>
      <c r="Z4">
        <v>80</v>
      </c>
      <c r="AA4">
        <v>80</v>
      </c>
    </row>
    <row r="5" spans="1:27" x14ac:dyDescent="0.25">
      <c r="A5" t="s">
        <v>7</v>
      </c>
      <c r="B5" t="e">
        <f>(1/B3)*1000</f>
        <v>#DIV/0!</v>
      </c>
      <c r="C5" t="e">
        <f>(1/C3)*1000</f>
        <v>#DIV/0!</v>
      </c>
      <c r="D5" t="e">
        <f t="shared" ref="D5:P5" si="1">(1/D3)*1000</f>
        <v>#DIV/0!</v>
      </c>
      <c r="E5" t="e">
        <f t="shared" si="1"/>
        <v>#DIV/0!</v>
      </c>
      <c r="F5" t="e">
        <f t="shared" si="1"/>
        <v>#DIV/0!</v>
      </c>
      <c r="G5" t="e">
        <f t="shared" si="1"/>
        <v>#DIV/0!</v>
      </c>
      <c r="H5" t="e">
        <f t="shared" si="1"/>
        <v>#DIV/0!</v>
      </c>
      <c r="I5" t="e">
        <f t="shared" si="1"/>
        <v>#DIV/0!</v>
      </c>
      <c r="J5" t="e">
        <f t="shared" si="1"/>
        <v>#DIV/0!</v>
      </c>
      <c r="K5" t="e">
        <f t="shared" si="1"/>
        <v>#DIV/0!</v>
      </c>
      <c r="L5" t="e">
        <f t="shared" si="1"/>
        <v>#DIV/0!</v>
      </c>
      <c r="M5" t="e">
        <f t="shared" si="1"/>
        <v>#DIV/0!</v>
      </c>
      <c r="N5" t="e">
        <f t="shared" si="1"/>
        <v>#DIV/0!</v>
      </c>
      <c r="O5" t="e">
        <f t="shared" si="1"/>
        <v>#DIV/0!</v>
      </c>
      <c r="P5" t="e">
        <f t="shared" si="1"/>
        <v>#DIV/0!</v>
      </c>
      <c r="Q5" t="e">
        <f t="shared" ref="E5:AA5" si="2">(1/Q3)*1000</f>
        <v>#DIV/0!</v>
      </c>
      <c r="R5">
        <f t="shared" si="2"/>
        <v>50</v>
      </c>
      <c r="S5">
        <f t="shared" si="2"/>
        <v>25</v>
      </c>
      <c r="T5">
        <f t="shared" si="2"/>
        <v>16.666666666666668</v>
      </c>
      <c r="U5">
        <f t="shared" si="2"/>
        <v>12.5</v>
      </c>
      <c r="V5">
        <f t="shared" si="2"/>
        <v>50</v>
      </c>
      <c r="W5">
        <f t="shared" si="2"/>
        <v>50</v>
      </c>
      <c r="X5">
        <f t="shared" si="2"/>
        <v>50</v>
      </c>
      <c r="Y5">
        <f t="shared" si="2"/>
        <v>25</v>
      </c>
      <c r="Z5">
        <f t="shared" si="2"/>
        <v>25</v>
      </c>
      <c r="AA5">
        <f t="shared" si="2"/>
        <v>16.666666666666668</v>
      </c>
    </row>
    <row r="6" spans="1:27" x14ac:dyDescent="0.25">
      <c r="A6" t="s">
        <v>6</v>
      </c>
      <c r="B6" t="e">
        <f>(1/B4)*1000</f>
        <v>#DIV/0!</v>
      </c>
      <c r="C6">
        <f>(1/C4)*1000</f>
        <v>50</v>
      </c>
      <c r="D6">
        <f t="shared" ref="D6:P6" si="3">(1/D4)*1000</f>
        <v>33.333333333333336</v>
      </c>
      <c r="E6">
        <f t="shared" si="3"/>
        <v>25</v>
      </c>
      <c r="F6">
        <f t="shared" si="3"/>
        <v>20</v>
      </c>
      <c r="G6">
        <f t="shared" si="3"/>
        <v>16.666666666666668</v>
      </c>
      <c r="H6">
        <f t="shared" si="3"/>
        <v>14.285714285714285</v>
      </c>
      <c r="I6">
        <f t="shared" si="3"/>
        <v>12.5</v>
      </c>
      <c r="J6">
        <f t="shared" si="3"/>
        <v>11.111111111111111</v>
      </c>
      <c r="K6">
        <f t="shared" si="3"/>
        <v>10</v>
      </c>
      <c r="L6">
        <f t="shared" si="3"/>
        <v>9.0909090909090899</v>
      </c>
      <c r="M6">
        <f t="shared" si="3"/>
        <v>8.3333333333333339</v>
      </c>
      <c r="N6">
        <f t="shared" si="3"/>
        <v>7.6923076923076925</v>
      </c>
      <c r="O6">
        <f t="shared" si="3"/>
        <v>7.1428571428571423</v>
      </c>
      <c r="P6">
        <f t="shared" si="3"/>
        <v>6.666666666666667</v>
      </c>
      <c r="Q6">
        <f>(1/Q4)*1000</f>
        <v>6.25</v>
      </c>
      <c r="R6">
        <f t="shared" ref="R6:AA6" si="4">(1/R4)*1000</f>
        <v>50</v>
      </c>
      <c r="S6">
        <f t="shared" si="4"/>
        <v>25</v>
      </c>
      <c r="T6">
        <f t="shared" si="4"/>
        <v>16.666666666666668</v>
      </c>
      <c r="U6">
        <f t="shared" si="4"/>
        <v>12.5</v>
      </c>
      <c r="V6">
        <f t="shared" si="4"/>
        <v>25</v>
      </c>
      <c r="W6">
        <f t="shared" si="4"/>
        <v>16.666666666666668</v>
      </c>
      <c r="X6">
        <f t="shared" si="4"/>
        <v>12.5</v>
      </c>
      <c r="Y6">
        <f t="shared" si="4"/>
        <v>16.666666666666668</v>
      </c>
      <c r="Z6">
        <f t="shared" si="4"/>
        <v>12.5</v>
      </c>
      <c r="AA6">
        <f t="shared" si="4"/>
        <v>12.5</v>
      </c>
    </row>
    <row r="7" spans="1:27" x14ac:dyDescent="0.25">
      <c r="A7" t="s">
        <v>9</v>
      </c>
      <c r="B7" t="e">
        <f>B5*2</f>
        <v>#DIV/0!</v>
      </c>
      <c r="C7" t="e">
        <f>C5*2</f>
        <v>#DIV/0!</v>
      </c>
      <c r="D7" t="e">
        <f t="shared" ref="D7:P7" si="5">D5*2</f>
        <v>#DIV/0!</v>
      </c>
      <c r="E7" t="e">
        <f t="shared" si="5"/>
        <v>#DIV/0!</v>
      </c>
      <c r="F7" t="e">
        <f t="shared" si="5"/>
        <v>#DIV/0!</v>
      </c>
      <c r="G7" t="e">
        <f t="shared" si="5"/>
        <v>#DIV/0!</v>
      </c>
      <c r="H7" t="e">
        <f t="shared" si="5"/>
        <v>#DIV/0!</v>
      </c>
      <c r="I7" t="e">
        <f t="shared" si="5"/>
        <v>#DIV/0!</v>
      </c>
      <c r="J7" t="e">
        <f t="shared" si="5"/>
        <v>#DIV/0!</v>
      </c>
      <c r="K7" t="e">
        <f t="shared" si="5"/>
        <v>#DIV/0!</v>
      </c>
      <c r="L7" t="e">
        <f t="shared" si="5"/>
        <v>#DIV/0!</v>
      </c>
      <c r="M7" t="e">
        <f t="shared" si="5"/>
        <v>#DIV/0!</v>
      </c>
      <c r="N7" t="e">
        <f t="shared" si="5"/>
        <v>#DIV/0!</v>
      </c>
      <c r="O7" t="e">
        <f t="shared" si="5"/>
        <v>#DIV/0!</v>
      </c>
      <c r="P7" t="e">
        <f t="shared" si="5"/>
        <v>#DIV/0!</v>
      </c>
      <c r="Q7" t="e">
        <f t="shared" ref="E7:AA7" si="6">Q5*2</f>
        <v>#DIV/0!</v>
      </c>
      <c r="R7">
        <f t="shared" si="6"/>
        <v>100</v>
      </c>
      <c r="S7">
        <f t="shared" si="6"/>
        <v>50</v>
      </c>
      <c r="T7">
        <f t="shared" si="6"/>
        <v>33.333333333333336</v>
      </c>
      <c r="U7">
        <f t="shared" si="6"/>
        <v>25</v>
      </c>
      <c r="V7">
        <f t="shared" si="6"/>
        <v>100</v>
      </c>
      <c r="W7">
        <f t="shared" si="6"/>
        <v>100</v>
      </c>
      <c r="X7">
        <f t="shared" si="6"/>
        <v>100</v>
      </c>
      <c r="Y7">
        <f t="shared" si="6"/>
        <v>50</v>
      </c>
      <c r="Z7">
        <f t="shared" si="6"/>
        <v>50</v>
      </c>
      <c r="AA7">
        <f t="shared" si="6"/>
        <v>33.333333333333336</v>
      </c>
    </row>
    <row r="8" spans="1:27" x14ac:dyDescent="0.25">
      <c r="A8" t="s">
        <v>10</v>
      </c>
      <c r="B8" t="e">
        <f>B6*2</f>
        <v>#DIV/0!</v>
      </c>
      <c r="C8">
        <f t="shared" ref="C8:P8" si="7">C6*2</f>
        <v>100</v>
      </c>
      <c r="D8" s="2">
        <f t="shared" si="7"/>
        <v>66.666666666666671</v>
      </c>
      <c r="E8">
        <f t="shared" si="7"/>
        <v>50</v>
      </c>
      <c r="F8" s="2">
        <f t="shared" si="7"/>
        <v>40</v>
      </c>
      <c r="G8">
        <f t="shared" si="7"/>
        <v>33.333333333333336</v>
      </c>
      <c r="H8" s="2">
        <f t="shared" si="7"/>
        <v>28.571428571428569</v>
      </c>
      <c r="I8">
        <f t="shared" si="7"/>
        <v>25</v>
      </c>
      <c r="J8" s="2">
        <f t="shared" si="7"/>
        <v>22.222222222222221</v>
      </c>
      <c r="K8">
        <f t="shared" si="7"/>
        <v>20</v>
      </c>
      <c r="L8" s="2">
        <f t="shared" si="7"/>
        <v>18.18181818181818</v>
      </c>
      <c r="M8">
        <f t="shared" si="7"/>
        <v>16.666666666666668</v>
      </c>
      <c r="N8" s="2">
        <f t="shared" si="7"/>
        <v>15.384615384615385</v>
      </c>
      <c r="O8">
        <f t="shared" si="7"/>
        <v>14.285714285714285</v>
      </c>
      <c r="P8" s="2">
        <f t="shared" si="7"/>
        <v>13.333333333333334</v>
      </c>
      <c r="Q8">
        <f t="shared" ref="I8:AA8" si="8">Q6*2</f>
        <v>12.5</v>
      </c>
      <c r="R8">
        <f t="shared" si="8"/>
        <v>100</v>
      </c>
      <c r="S8">
        <f t="shared" si="8"/>
        <v>50</v>
      </c>
      <c r="T8">
        <f t="shared" si="8"/>
        <v>33.333333333333336</v>
      </c>
      <c r="U8">
        <f t="shared" si="8"/>
        <v>25</v>
      </c>
      <c r="V8">
        <f t="shared" si="8"/>
        <v>50</v>
      </c>
      <c r="W8">
        <f t="shared" si="8"/>
        <v>33.333333333333336</v>
      </c>
      <c r="X8">
        <f t="shared" si="8"/>
        <v>25</v>
      </c>
      <c r="Y8">
        <f t="shared" si="8"/>
        <v>33.333333333333336</v>
      </c>
      <c r="Z8">
        <f t="shared" si="8"/>
        <v>25</v>
      </c>
      <c r="AA8">
        <f t="shared" si="8"/>
        <v>25</v>
      </c>
    </row>
  </sheetData>
  <mergeCells count="3">
    <mergeCell ref="E1:Q1"/>
    <mergeCell ref="R1:U1"/>
    <mergeCell ref="V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Luoyan Zhong</dc:creator>
  <cp:lastModifiedBy>Luoyan Zhong</cp:lastModifiedBy>
  <dcterms:created xsi:type="dcterms:W3CDTF">2025-08-18T18:29:29Z</dcterms:created>
  <dcterms:modified xsi:type="dcterms:W3CDTF">2025-09-10T19:49:55Z</dcterms:modified>
</cp:coreProperties>
</file>