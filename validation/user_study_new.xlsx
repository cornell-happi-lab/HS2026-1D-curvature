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taGlove\calibration_code\"/>
    </mc:Choice>
  </mc:AlternateContent>
  <xr:revisionPtr revIDLastSave="0" documentId="13_ncr:1_{91B1AF05-BCDB-41D6-9E6F-52CBD8E2E5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  <c r="Z14" i="1"/>
  <c r="Z15" i="1"/>
  <c r="Z12" i="1"/>
  <c r="Y13" i="1"/>
  <c r="Y14" i="1"/>
  <c r="Y15" i="1"/>
  <c r="Y12" i="1"/>
  <c r="S13" i="1"/>
  <c r="S14" i="1"/>
  <c r="S15" i="1"/>
  <c r="S12" i="1"/>
  <c r="O13" i="1"/>
  <c r="O14" i="1"/>
  <c r="O15" i="1"/>
  <c r="O12" i="1"/>
  <c r="K13" i="1"/>
  <c r="K14" i="1"/>
  <c r="K15" i="1"/>
  <c r="K12" i="1"/>
  <c r="G13" i="1"/>
  <c r="G14" i="1"/>
  <c r="G15" i="1"/>
  <c r="G12" i="1"/>
  <c r="F11" i="1"/>
  <c r="X15" i="1"/>
  <c r="X12" i="1"/>
  <c r="X13" i="1"/>
  <c r="X14" i="1"/>
  <c r="X11" i="1"/>
  <c r="V15" i="1"/>
  <c r="V12" i="1"/>
  <c r="V13" i="1"/>
  <c r="V14" i="1"/>
  <c r="V11" i="1"/>
  <c r="R12" i="1"/>
  <c r="R13" i="1"/>
  <c r="R14" i="1"/>
  <c r="R15" i="1"/>
  <c r="R11" i="1"/>
  <c r="P12" i="1"/>
  <c r="P13" i="1"/>
  <c r="P14" i="1"/>
  <c r="P15" i="1"/>
  <c r="P11" i="1"/>
  <c r="N12" i="1"/>
  <c r="N13" i="1"/>
  <c r="N14" i="1"/>
  <c r="N15" i="1"/>
  <c r="N11" i="1"/>
  <c r="L12" i="1"/>
  <c r="L13" i="1"/>
  <c r="L14" i="1"/>
  <c r="L15" i="1"/>
  <c r="L11" i="1"/>
  <c r="J12" i="1"/>
  <c r="J13" i="1"/>
  <c r="J14" i="1"/>
  <c r="J15" i="1"/>
  <c r="J11" i="1"/>
  <c r="H12" i="1"/>
  <c r="H13" i="1"/>
  <c r="H14" i="1"/>
  <c r="H15" i="1"/>
  <c r="H11" i="1"/>
  <c r="F12" i="1"/>
  <c r="F13" i="1"/>
  <c r="F14" i="1"/>
  <c r="F15" i="1"/>
  <c r="D15" i="1"/>
  <c r="D12" i="1"/>
  <c r="D13" i="1"/>
  <c r="D14" i="1"/>
  <c r="D11" i="1"/>
</calcChain>
</file>

<file path=xl/sharedStrings.xml><?xml version="1.0" encoding="utf-8"?>
<sst xmlns="http://schemas.openxmlformats.org/spreadsheetml/2006/main" count="46" uniqueCount="18">
  <si>
    <t>tuna can</t>
  </si>
  <si>
    <t>GT CUR</t>
  </si>
  <si>
    <t>PR CUR</t>
  </si>
  <si>
    <t>2N</t>
  </si>
  <si>
    <t>4N</t>
  </si>
  <si>
    <t>6N</t>
  </si>
  <si>
    <t>8N</t>
  </si>
  <si>
    <t>avg</t>
  </si>
  <si>
    <t>stddev</t>
  </si>
  <si>
    <t>flat</t>
  </si>
  <si>
    <t>curve</t>
  </si>
  <si>
    <t>OBJ</t>
  </si>
  <si>
    <t>natural holding</t>
  </si>
  <si>
    <t>GT</t>
  </si>
  <si>
    <t>energy drink</t>
  </si>
  <si>
    <t>gum box</t>
  </si>
  <si>
    <t>rubbing alcohol bottle</t>
  </si>
  <si>
    <t>pingpong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</si>
</sst>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activeCell="R25" sqref="R25"/>
    </sheetView>
  </sheetViews>
  <sheetFormatPr defaultRowHeight="15" x14ac:dyDescent="0.25"/>
  <cols>
    <col min="1" max="1" width="22" customWidth="1"/>
  </cols>
  <sheetData>
    <row r="1" spans="1:26" x14ac:dyDescent="0.25">
      <c r="A1" s="2" t="s">
        <v>11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 t="s">
        <v>5</v>
      </c>
      <c r="M1" s="2"/>
      <c r="N1" s="2"/>
      <c r="O1" s="2"/>
      <c r="P1" s="2" t="s">
        <v>6</v>
      </c>
      <c r="Q1" s="2"/>
      <c r="R1" s="2"/>
      <c r="S1" s="2"/>
      <c r="T1" s="2" t="s">
        <v>12</v>
      </c>
      <c r="U1" s="2"/>
      <c r="V1" s="2"/>
      <c r="W1" s="2"/>
      <c r="X1" s="2"/>
      <c r="Y1" s="2"/>
    </row>
    <row r="2" spans="1:26" x14ac:dyDescent="0.25">
      <c r="A2" s="2"/>
      <c r="B2" s="2"/>
      <c r="C2" s="2"/>
      <c r="D2" s="2" t="s">
        <v>9</v>
      </c>
      <c r="E2" s="2"/>
      <c r="F2" s="3" t="s">
        <v>10</v>
      </c>
      <c r="G2" s="3"/>
      <c r="H2" s="2" t="s">
        <v>9</v>
      </c>
      <c r="I2" s="2"/>
      <c r="J2" s="3" t="s">
        <v>10</v>
      </c>
      <c r="K2" s="3"/>
      <c r="L2" s="2" t="s">
        <v>9</v>
      </c>
      <c r="M2" s="2"/>
      <c r="N2" s="3" t="s">
        <v>10</v>
      </c>
      <c r="O2" s="3"/>
      <c r="P2" s="2" t="s">
        <v>9</v>
      </c>
      <c r="Q2" s="2"/>
      <c r="R2" s="3" t="s">
        <v>10</v>
      </c>
      <c r="S2" s="3"/>
      <c r="T2" s="2" t="s">
        <v>13</v>
      </c>
      <c r="U2" s="2"/>
      <c r="V2" s="2" t="s">
        <v>9</v>
      </c>
      <c r="W2" s="2"/>
      <c r="X2" s="2" t="s">
        <v>10</v>
      </c>
      <c r="Y2" s="2"/>
    </row>
    <row r="3" spans="1:26" x14ac:dyDescent="0.25">
      <c r="A3" s="2"/>
      <c r="B3" s="2"/>
      <c r="C3" s="2"/>
      <c r="D3" s="1" t="s">
        <v>7</v>
      </c>
      <c r="E3" s="1" t="s">
        <v>8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8</v>
      </c>
      <c r="L3" s="1" t="s">
        <v>7</v>
      </c>
      <c r="M3" s="1" t="s">
        <v>8</v>
      </c>
      <c r="N3" s="1" t="s">
        <v>7</v>
      </c>
      <c r="O3" s="1" t="s">
        <v>8</v>
      </c>
      <c r="P3" s="1" t="s">
        <v>7</v>
      </c>
      <c r="Q3" s="1" t="s">
        <v>8</v>
      </c>
      <c r="R3" s="1" t="s">
        <v>7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7</v>
      </c>
      <c r="Y3" s="1" t="s">
        <v>8</v>
      </c>
    </row>
    <row r="4" spans="1:26" x14ac:dyDescent="0.25">
      <c r="A4" s="1" t="s">
        <v>15</v>
      </c>
      <c r="B4" s="5">
        <v>0</v>
      </c>
      <c r="C4" s="5">
        <v>4.8229170000000003</v>
      </c>
      <c r="D4" s="5">
        <v>1.996936</v>
      </c>
      <c r="E4" s="5">
        <v>0.23208899999999999</v>
      </c>
      <c r="F4" s="5">
        <v>1.8584620000000001</v>
      </c>
      <c r="G4" s="5">
        <v>0.215172</v>
      </c>
      <c r="H4" s="5">
        <v>4.0836030000000001</v>
      </c>
      <c r="I4" s="5">
        <v>0.168517</v>
      </c>
      <c r="J4" s="5">
        <v>3.7803170000000001</v>
      </c>
      <c r="K4" s="5">
        <v>0.154139</v>
      </c>
      <c r="L4" s="5">
        <v>5.3895860000000004</v>
      </c>
      <c r="M4" s="5">
        <v>7.5946E-2</v>
      </c>
      <c r="N4" s="5">
        <v>4.9676429999999998</v>
      </c>
      <c r="O4" s="5">
        <v>6.8564E-2</v>
      </c>
      <c r="P4" s="5">
        <v>5.5941830000000001</v>
      </c>
      <c r="Q4" s="5">
        <v>8.6243E-2</v>
      </c>
      <c r="R4" s="5">
        <v>5.152145</v>
      </c>
      <c r="S4" s="5">
        <v>7.7682000000000001E-2</v>
      </c>
      <c r="T4" s="5">
        <v>1.9201710000000001</v>
      </c>
      <c r="U4" s="5">
        <v>9.0879000000000001E-2</v>
      </c>
      <c r="V4" s="5">
        <v>1.6205639999999999</v>
      </c>
      <c r="W4" s="5">
        <v>0.15089900000000001</v>
      </c>
      <c r="X4" s="5">
        <v>1.5094689999999999</v>
      </c>
      <c r="Y4" s="5">
        <v>0.140066</v>
      </c>
    </row>
    <row r="5" spans="1:26" x14ac:dyDescent="0.25">
      <c r="A5" s="1" t="s">
        <v>0</v>
      </c>
      <c r="B5" s="5">
        <v>12.03</v>
      </c>
      <c r="C5" s="5">
        <v>15.8</v>
      </c>
      <c r="D5" s="5">
        <v>1.2485459999999999</v>
      </c>
      <c r="E5" s="5">
        <v>7.3959999999999998E-2</v>
      </c>
      <c r="F5" s="5">
        <v>2.1501960000000002</v>
      </c>
      <c r="G5" s="5">
        <v>0.13022400000000001</v>
      </c>
      <c r="H5" s="5">
        <v>2.2331629999999998</v>
      </c>
      <c r="I5" s="5">
        <v>3.7368999999999999E-2</v>
      </c>
      <c r="J5" s="5">
        <v>3.9227240000000001</v>
      </c>
      <c r="K5" s="5">
        <v>6.8856000000000001E-2</v>
      </c>
      <c r="L5" s="5">
        <v>2.7481879999999999</v>
      </c>
      <c r="M5" s="5">
        <v>7.6340000000000005E-2</v>
      </c>
      <c r="N5" s="5">
        <v>4.8857470000000003</v>
      </c>
      <c r="O5" s="5">
        <v>0.14479</v>
      </c>
      <c r="P5" s="5">
        <v>3.7164700000000002</v>
      </c>
      <c r="Q5" s="5">
        <v>3.7962000000000003E-2</v>
      </c>
      <c r="R5" s="5">
        <v>6.7851889999999999</v>
      </c>
      <c r="S5" s="5">
        <v>7.7221999999999999E-2</v>
      </c>
      <c r="T5" s="5">
        <v>2.3110949999999999</v>
      </c>
      <c r="U5" s="5">
        <v>7.1286000000000002E-2</v>
      </c>
      <c r="V5" s="5">
        <v>1.2915350000000001</v>
      </c>
      <c r="W5" s="5">
        <v>0.180811</v>
      </c>
      <c r="X5" s="5">
        <v>2.226966</v>
      </c>
      <c r="Y5" s="5">
        <v>0.31838899999999998</v>
      </c>
    </row>
    <row r="6" spans="1:26" x14ac:dyDescent="0.25">
      <c r="A6" s="1" t="s">
        <v>14</v>
      </c>
      <c r="B6" s="5">
        <v>17.54</v>
      </c>
      <c r="C6" s="5">
        <v>20.682568</v>
      </c>
      <c r="D6" s="5">
        <v>1.0640890000000001</v>
      </c>
      <c r="E6" s="5">
        <v>9.5162999999999998E-2</v>
      </c>
      <c r="F6" s="5">
        <v>2.6445120000000002</v>
      </c>
      <c r="G6" s="5">
        <v>0.2422</v>
      </c>
      <c r="H6" s="5">
        <v>1.4573339999999999</v>
      </c>
      <c r="I6" s="5">
        <v>4.6428999999999998E-2</v>
      </c>
      <c r="J6" s="5">
        <v>3.65909</v>
      </c>
      <c r="K6" s="5">
        <v>0.12116499999999999</v>
      </c>
      <c r="L6" s="5">
        <v>3.0208680000000001</v>
      </c>
      <c r="M6" s="5">
        <v>0.16763500000000001</v>
      </c>
      <c r="N6" s="5">
        <v>7.9712079999999998</v>
      </c>
      <c r="O6" s="5">
        <v>0.48655999999999999</v>
      </c>
      <c r="P6" s="5">
        <v>3.7955899999999998</v>
      </c>
      <c r="Q6" s="5">
        <v>2.3902E-2</v>
      </c>
      <c r="R6" s="5">
        <v>10.327685000000001</v>
      </c>
      <c r="S6" s="5">
        <v>2.3902E-2</v>
      </c>
      <c r="T6" s="5">
        <v>2.2274120000000002</v>
      </c>
      <c r="U6" s="5">
        <v>6.0694999999999999E-2</v>
      </c>
      <c r="V6" s="5">
        <v>1.4947360000000001</v>
      </c>
      <c r="W6" s="5">
        <v>0.104878</v>
      </c>
      <c r="X6" s="5">
        <v>2.5863559999999999</v>
      </c>
      <c r="Y6" s="5">
        <v>0.186385</v>
      </c>
    </row>
    <row r="7" spans="1:26" x14ac:dyDescent="0.25">
      <c r="A7" s="1" t="s">
        <v>16</v>
      </c>
      <c r="B7" s="5">
        <v>25</v>
      </c>
      <c r="C7" s="5">
        <v>25.295952</v>
      </c>
      <c r="D7" s="5">
        <v>0.55625000000000002</v>
      </c>
      <c r="E7" s="5">
        <v>6.2562000000000006E-2</v>
      </c>
      <c r="F7" s="5">
        <v>1.890989</v>
      </c>
      <c r="G7" s="5">
        <v>0.21507299999999999</v>
      </c>
      <c r="H7" s="5">
        <v>1.0459769999999999</v>
      </c>
      <c r="I7" s="5">
        <v>0.107653</v>
      </c>
      <c r="J7" s="5">
        <v>3.6080700000000001</v>
      </c>
      <c r="K7" s="5">
        <v>0.38285999999999998</v>
      </c>
      <c r="L7" s="5">
        <v>1.639446</v>
      </c>
      <c r="M7" s="5">
        <v>2.9737E-2</v>
      </c>
      <c r="N7" s="5">
        <v>5.7612949999999996</v>
      </c>
      <c r="O7" s="5">
        <v>0.110237</v>
      </c>
      <c r="P7" s="5">
        <v>2.3196539999999999</v>
      </c>
      <c r="Q7" s="5">
        <v>5.0520000000000002E-2</v>
      </c>
      <c r="R7" s="5">
        <v>8.3503190000000007</v>
      </c>
      <c r="S7" s="5">
        <v>0.197795</v>
      </c>
      <c r="T7" s="5">
        <v>1.6787190000000001</v>
      </c>
      <c r="U7" s="5">
        <v>0.148344</v>
      </c>
      <c r="V7" s="5">
        <v>0.44774000000000003</v>
      </c>
      <c r="W7" s="5">
        <v>0.14238700000000001</v>
      </c>
      <c r="X7" s="5">
        <v>1.5191209999999999</v>
      </c>
      <c r="Y7" s="5">
        <v>0.48858699999999999</v>
      </c>
    </row>
    <row r="8" spans="1:26" x14ac:dyDescent="0.25">
      <c r="A8" s="1" t="s">
        <v>17</v>
      </c>
      <c r="B8" s="6">
        <v>50</v>
      </c>
      <c r="C8" s="6">
        <v>42.284534000000001</v>
      </c>
      <c r="D8" s="6">
        <v>0.293707</v>
      </c>
      <c r="E8" s="6">
        <v>8.1818000000000002E-2</v>
      </c>
      <c r="F8" s="6">
        <v>2.5687280000000001</v>
      </c>
      <c r="G8" s="6">
        <v>0.71999899999999994</v>
      </c>
      <c r="H8" s="6">
        <v>0.48504799999999998</v>
      </c>
      <c r="I8" s="6">
        <v>2.8504000000000002E-2</v>
      </c>
      <c r="J8" s="6">
        <v>4.2675919999999996</v>
      </c>
      <c r="K8" s="6">
        <v>0.25510100000000002</v>
      </c>
      <c r="L8" s="6">
        <v>0.65796500000000002</v>
      </c>
      <c r="M8" s="6">
        <v>3.6409999999999998E-2</v>
      </c>
      <c r="N8" s="6">
        <v>5.8250409999999997</v>
      </c>
      <c r="O8" s="6">
        <v>0.32988699999999999</v>
      </c>
      <c r="P8" s="6">
        <v>1.0936699999999999</v>
      </c>
      <c r="Q8" s="6">
        <v>2.9631000000000001E-2</v>
      </c>
      <c r="R8" s="6">
        <v>9.8406169999999999</v>
      </c>
      <c r="S8" s="6">
        <v>0.27782299999999999</v>
      </c>
      <c r="T8" s="6">
        <v>1.2592209999999999</v>
      </c>
      <c r="U8" s="6">
        <v>0.23948800000000001</v>
      </c>
      <c r="V8" s="6">
        <v>0.246894</v>
      </c>
      <c r="W8" s="6">
        <v>6.2913999999999998E-2</v>
      </c>
      <c r="X8" s="6">
        <v>0.83231100000000002</v>
      </c>
      <c r="Y8" s="6">
        <v>0.213232</v>
      </c>
    </row>
    <row r="11" spans="1:26" x14ac:dyDescent="0.25">
      <c r="D11" s="7">
        <f xml:space="preserve"> ABS(2 - D4)</f>
        <v>3.0639999999999556E-3</v>
      </c>
      <c r="E11" s="8"/>
      <c r="F11" s="9">
        <f>ABS(2 - F4)</f>
        <v>0.14153799999999994</v>
      </c>
      <c r="G11" s="4"/>
      <c r="H11" s="7">
        <f>ABS(4 - H4)</f>
        <v>8.3603000000000094E-2</v>
      </c>
      <c r="I11" s="8"/>
      <c r="J11" s="9">
        <f>ABS(4 - J4)</f>
        <v>0.21968299999999985</v>
      </c>
      <c r="K11" s="4"/>
      <c r="L11" s="7">
        <f>ABS(6-L4)</f>
        <v>0.61041399999999957</v>
      </c>
      <c r="M11" s="8"/>
      <c r="N11" s="9">
        <f>ABS(6-N4)</f>
        <v>1.0323570000000002</v>
      </c>
      <c r="O11" s="4"/>
      <c r="P11" s="7">
        <f>ABS(8-P4)</f>
        <v>2.4058169999999999</v>
      </c>
      <c r="Q11" s="8"/>
      <c r="R11" s="9">
        <f>ABS(8-R4)</f>
        <v>2.847855</v>
      </c>
      <c r="S11" s="4"/>
      <c r="T11" s="4"/>
      <c r="U11" s="4"/>
      <c r="V11" s="7">
        <f>ABS(V4 - T4)</f>
        <v>0.29960700000000018</v>
      </c>
      <c r="W11" s="8"/>
      <c r="X11" s="9">
        <f>ABS(X4 - T4)</f>
        <v>0.41070200000000012</v>
      </c>
    </row>
    <row r="12" spans="1:26" x14ac:dyDescent="0.25">
      <c r="D12" s="10">
        <f t="shared" ref="D12:D15" si="0" xml:space="preserve"> ABS(2 - D5)</f>
        <v>0.75145400000000007</v>
      </c>
      <c r="E12" s="11"/>
      <c r="F12" s="12">
        <f t="shared" ref="F12:F15" si="1">ABS(2 - F5)</f>
        <v>0.15019600000000022</v>
      </c>
      <c r="G12" s="4">
        <f>D12/F12</f>
        <v>5.0031558763215997</v>
      </c>
      <c r="H12" s="10">
        <f t="shared" ref="H12:H15" si="2">ABS(4 - H5)</f>
        <v>1.7668370000000002</v>
      </c>
      <c r="I12" s="11"/>
      <c r="J12" s="12">
        <f t="shared" ref="J12:J15" si="3">ABS(4 - J5)</f>
        <v>7.72759999999999E-2</v>
      </c>
      <c r="K12" s="4">
        <f>H12/J12</f>
        <v>22.86398105492006</v>
      </c>
      <c r="L12" s="10">
        <f t="shared" ref="L12:L15" si="4">ABS(6-L5)</f>
        <v>3.2518120000000001</v>
      </c>
      <c r="M12" s="11"/>
      <c r="N12" s="12">
        <f t="shared" ref="N12:N15" si="5">ABS(6-N5)</f>
        <v>1.1142529999999997</v>
      </c>
      <c r="O12" s="4">
        <f>L12/N12</f>
        <v>2.9183785011124055</v>
      </c>
      <c r="P12" s="10">
        <f t="shared" ref="P12:P15" si="6">ABS(8-P5)</f>
        <v>4.2835299999999998</v>
      </c>
      <c r="Q12" s="11"/>
      <c r="R12" s="12">
        <f t="shared" ref="R12:R15" si="7">ABS(8-R5)</f>
        <v>1.2148110000000001</v>
      </c>
      <c r="S12" s="4">
        <f>P12/R12</f>
        <v>3.5260875971653198</v>
      </c>
      <c r="T12" s="4"/>
      <c r="U12" s="4"/>
      <c r="V12" s="10">
        <f t="shared" ref="V12:V15" si="8">ABS(V5 - T5)</f>
        <v>1.0195599999999998</v>
      </c>
      <c r="W12" s="11"/>
      <c r="X12" s="12">
        <f t="shared" ref="X12:X15" si="9">ABS(X5 - T5)</f>
        <v>8.4128999999999898E-2</v>
      </c>
      <c r="Y12">
        <f>V12/X12</f>
        <v>12.119007714343461</v>
      </c>
      <c r="Z12">
        <f>(G12+K12+O12+S12+Y12)/4</f>
        <v>11.607652685965713</v>
      </c>
    </row>
    <row r="13" spans="1:26" x14ac:dyDescent="0.25">
      <c r="D13" s="10">
        <f t="shared" si="0"/>
        <v>0.93591099999999994</v>
      </c>
      <c r="E13" s="11"/>
      <c r="F13" s="12">
        <f t="shared" si="1"/>
        <v>0.6445120000000002</v>
      </c>
      <c r="G13" s="4">
        <f t="shared" ref="G13:G15" si="10">D13/F13</f>
        <v>1.4521234670572458</v>
      </c>
      <c r="H13" s="10">
        <f t="shared" si="2"/>
        <v>2.5426660000000001</v>
      </c>
      <c r="I13" s="11"/>
      <c r="J13" s="12">
        <f t="shared" si="3"/>
        <v>0.34091000000000005</v>
      </c>
      <c r="K13" s="4">
        <f t="shared" ref="K13:K15" si="11">H13/J13</f>
        <v>7.4584670440878815</v>
      </c>
      <c r="L13" s="10">
        <f t="shared" si="4"/>
        <v>2.9791319999999999</v>
      </c>
      <c r="M13" s="11"/>
      <c r="N13" s="12">
        <f t="shared" si="5"/>
        <v>1.9712079999999998</v>
      </c>
      <c r="O13" s="4">
        <f t="shared" ref="O13:O15" si="12">L13/N13</f>
        <v>1.5113230059942939</v>
      </c>
      <c r="P13" s="10">
        <f t="shared" si="6"/>
        <v>4.2044100000000002</v>
      </c>
      <c r="Q13" s="11"/>
      <c r="R13" s="12">
        <f t="shared" si="7"/>
        <v>2.3276850000000007</v>
      </c>
      <c r="S13" s="4">
        <f t="shared" ref="S13:S15" si="13">P13/R13</f>
        <v>1.8062624453050988</v>
      </c>
      <c r="T13" s="4"/>
      <c r="U13" s="4"/>
      <c r="V13" s="10">
        <f t="shared" si="8"/>
        <v>0.7326760000000001</v>
      </c>
      <c r="W13" s="11"/>
      <c r="X13" s="12">
        <f t="shared" si="9"/>
        <v>0.35894399999999971</v>
      </c>
      <c r="Y13">
        <f t="shared" ref="Y13:Y15" si="14">V13/X13</f>
        <v>2.0411986270838924</v>
      </c>
      <c r="Z13">
        <f t="shared" ref="Z13:Z15" si="15">(G13+K13+O13+S13+Y13)/4</f>
        <v>3.5673436473821032</v>
      </c>
    </row>
    <row r="14" spans="1:26" x14ac:dyDescent="0.25">
      <c r="D14" s="10">
        <f t="shared" si="0"/>
        <v>1.4437500000000001</v>
      </c>
      <c r="E14" s="11"/>
      <c r="F14" s="12">
        <f t="shared" si="1"/>
        <v>0.10901099999999997</v>
      </c>
      <c r="G14" s="4">
        <f t="shared" si="10"/>
        <v>13.244076285879411</v>
      </c>
      <c r="H14" s="10">
        <f t="shared" si="2"/>
        <v>2.9540230000000003</v>
      </c>
      <c r="I14" s="11"/>
      <c r="J14" s="12">
        <f t="shared" si="3"/>
        <v>0.39192999999999989</v>
      </c>
      <c r="K14" s="4">
        <f t="shared" si="11"/>
        <v>7.5371188732681889</v>
      </c>
      <c r="L14" s="10">
        <f t="shared" si="4"/>
        <v>4.3605540000000005</v>
      </c>
      <c r="M14" s="11"/>
      <c r="N14" s="12">
        <f t="shared" si="5"/>
        <v>0.23870500000000039</v>
      </c>
      <c r="O14" s="4">
        <f t="shared" si="12"/>
        <v>18.267543620787137</v>
      </c>
      <c r="P14" s="10">
        <f t="shared" si="6"/>
        <v>5.6803460000000001</v>
      </c>
      <c r="Q14" s="11"/>
      <c r="R14" s="12">
        <f t="shared" si="7"/>
        <v>0.35031900000000071</v>
      </c>
      <c r="S14" s="4">
        <f t="shared" si="13"/>
        <v>16.214781384966241</v>
      </c>
      <c r="T14" s="4"/>
      <c r="U14" s="4"/>
      <c r="V14" s="10">
        <f t="shared" si="8"/>
        <v>1.230979</v>
      </c>
      <c r="W14" s="11"/>
      <c r="X14" s="12">
        <f t="shared" si="9"/>
        <v>0.15959800000000013</v>
      </c>
      <c r="Y14">
        <f t="shared" si="14"/>
        <v>7.7129976566122327</v>
      </c>
      <c r="Z14">
        <f t="shared" si="15"/>
        <v>15.744129455378303</v>
      </c>
    </row>
    <row r="15" spans="1:26" x14ac:dyDescent="0.25">
      <c r="D15" s="13">
        <f xml:space="preserve"> ABS(2 - D8)</f>
        <v>1.7062930000000001</v>
      </c>
      <c r="E15" s="14"/>
      <c r="F15" s="15">
        <f t="shared" si="1"/>
        <v>0.56872800000000012</v>
      </c>
      <c r="G15" s="4">
        <f t="shared" si="10"/>
        <v>3.0001916557651453</v>
      </c>
      <c r="H15" s="13">
        <f t="shared" si="2"/>
        <v>3.5149520000000001</v>
      </c>
      <c r="I15" s="14"/>
      <c r="J15" s="15">
        <f t="shared" si="3"/>
        <v>0.26759199999999961</v>
      </c>
      <c r="K15" s="4">
        <f t="shared" si="11"/>
        <v>13.135489850219757</v>
      </c>
      <c r="L15" s="13">
        <f t="shared" si="4"/>
        <v>5.3420350000000001</v>
      </c>
      <c r="M15" s="14"/>
      <c r="N15" s="15">
        <f t="shared" si="5"/>
        <v>0.17495900000000031</v>
      </c>
      <c r="O15" s="4">
        <f t="shared" si="12"/>
        <v>30.533067747300741</v>
      </c>
      <c r="P15" s="13">
        <f t="shared" si="6"/>
        <v>6.9063300000000005</v>
      </c>
      <c r="Q15" s="14"/>
      <c r="R15" s="15">
        <f t="shared" si="7"/>
        <v>1.8406169999999999</v>
      </c>
      <c r="S15" s="4">
        <f t="shared" si="13"/>
        <v>3.7521820128793775</v>
      </c>
      <c r="T15" s="4"/>
      <c r="U15" s="4"/>
      <c r="V15" s="13">
        <f>ABS(V8 - T8)</f>
        <v>1.012327</v>
      </c>
      <c r="W15" s="14"/>
      <c r="X15" s="15">
        <f>ABS(X8 - T8)</f>
        <v>0.4269099999999999</v>
      </c>
      <c r="Y15">
        <f t="shared" si="14"/>
        <v>2.371289030474808</v>
      </c>
      <c r="Z15">
        <f t="shared" si="15"/>
        <v>13.198055074159956</v>
      </c>
    </row>
  </sheetData>
  <mergeCells count="19">
    <mergeCell ref="A1:A3"/>
    <mergeCell ref="H1:K1"/>
    <mergeCell ref="H2:I2"/>
    <mergeCell ref="J2:K2"/>
    <mergeCell ref="L1:O1"/>
    <mergeCell ref="L2:M2"/>
    <mergeCell ref="N2:O2"/>
    <mergeCell ref="D2:E2"/>
    <mergeCell ref="F2:G2"/>
    <mergeCell ref="D1:G1"/>
    <mergeCell ref="C1:C3"/>
    <mergeCell ref="B1:B3"/>
    <mergeCell ref="T2:U2"/>
    <mergeCell ref="V2:W2"/>
    <mergeCell ref="X2:Y2"/>
    <mergeCell ref="T1:Y1"/>
    <mergeCell ref="P1:S1"/>
    <mergeCell ref="P2:Q2"/>
    <mergeCell ref="R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happilab</dc:creator>
  <cp:lastModifiedBy>Luoyan Zhong</cp:lastModifiedBy>
  <dcterms:created xsi:type="dcterms:W3CDTF">2015-06-05T18:17:20Z</dcterms:created>
  <dcterms:modified xsi:type="dcterms:W3CDTF">2025-10-15T17:25:49Z</dcterms:modified>
</cp:coreProperties>
</file>